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r Fact Folder\RAG Chatbot\"/>
    </mc:Choice>
  </mc:AlternateContent>
  <xr:revisionPtr revIDLastSave="0" documentId="13_ncr:1_{C591819D-4124-4C9E-9F19-E3AF633A98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quential Protocol Designer" sheetId="1" r:id="rId1"/>
    <sheet name="Kit Master Reference" sheetId="2" r:id="rId2"/>
    <sheet name="Sheet1" sheetId="4" r:id="rId3"/>
    <sheet name="How To Use" sheetId="3" r:id="rId4"/>
  </sheets>
  <definedNames>
    <definedName name="_xlnm._FilterDatabase" localSheetId="0" hidden="1">'Sequential Protocol Designer'!$A$3:$G$35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" l="1"/>
  <c r="F14" i="1"/>
  <c r="F18" i="1" l="1"/>
  <c r="F5" i="1"/>
  <c r="F6" i="1"/>
  <c r="F7" i="1"/>
  <c r="F8" i="1"/>
  <c r="F9" i="1"/>
  <c r="F10" i="1"/>
  <c r="F11" i="1"/>
  <c r="F12" i="1"/>
  <c r="F15" i="1"/>
  <c r="F16" i="1"/>
  <c r="F17" i="1"/>
  <c r="F19" i="1"/>
  <c r="F20" i="1"/>
  <c r="F21" i="1"/>
  <c r="F23" i="1"/>
  <c r="F24" i="1"/>
  <c r="F25" i="1"/>
  <c r="F26" i="1"/>
  <c r="F27" i="1"/>
  <c r="F28" i="1"/>
  <c r="F29" i="1"/>
  <c r="F30" i="1"/>
  <c r="F31" i="1"/>
  <c r="F32" i="1"/>
  <c r="F33" i="1"/>
  <c r="F34" i="1"/>
  <c r="F4" i="1"/>
</calcChain>
</file>

<file path=xl/sharedStrings.xml><?xml version="1.0" encoding="utf-8"?>
<sst xmlns="http://schemas.openxmlformats.org/spreadsheetml/2006/main" count="433" uniqueCount="214">
  <si>
    <t>Dr. FACT  —  Sequential Protocol Designer  |  Define which kit the patient receives first, second, third and fourth</t>
  </si>
  <si>
    <t>UPDATE THIS SHEET: Fill Phase 1-4 columns with the exact kit name for each condition. Phase 1 = highest priority (Month 1-2). Leave Phase 3/4 blank if not needed. Send back to update the AI.</t>
  </si>
  <si>
    <t>Patient Condition / Scenario</t>
  </si>
  <si>
    <t>PHASE 1  —  Month 1-2
(Repair cellular environment FIRST)</t>
  </si>
  <si>
    <t>PHASE 2  —  Month 3-4
(Target primary hair condition)</t>
  </si>
  <si>
    <t>PHASE 3  —  Month 5-6
(Hormonal / Metabolic layer)</t>
  </si>
  <si>
    <t>PHASE 4  —  Month 7-8
(Consolidate &amp; prevent relapse)</t>
  </si>
  <si>
    <t>Total
Phases</t>
  </si>
  <si>
    <t>Clinical Rationale  (why this sequence?)</t>
  </si>
  <si>
    <t>Telogen Effluvium
(Stress / Anxiety / Depression)</t>
  </si>
  <si>
    <t>HAIR FACT TE GOLD
(or VEG variant)</t>
  </si>
  <si>
    <t>PHENOTYPE INFLAMATION</t>
  </si>
  <si>
    <t>TE repairs active shedding first; INFLAM clears stress-triggered scalp inflammation in Phase 2</t>
  </si>
  <si>
    <t>Telogen Effluvium
(Nutritional deficiency)</t>
  </si>
  <si>
    <t>PRO IMMUNE GOLD</t>
  </si>
  <si>
    <t>Correct nutritional deficit → clear inflammation → strengthen immune response</t>
  </si>
  <si>
    <t>Telogen Effluvium
(Post-pregnancy)</t>
  </si>
  <si>
    <t>LACTIHEALTH</t>
  </si>
  <si>
    <t>Stop shedding first; LACTIHEALTH supports breastfeeding nutrition; immune repair last</t>
  </si>
  <si>
    <t>Telogen Effluvium
(Illness / Surgery)</t>
  </si>
  <si>
    <t>Post-illness inflammation must be cleared before TE kit can be effective</t>
  </si>
  <si>
    <t>Male AGA
(Grade 1-2-3)</t>
  </si>
  <si>
    <t>Scalp inflammation blocks DHT-blocker absorption — clear terrain in Ph1 first</t>
  </si>
  <si>
    <t>Male AGA
(Grade 4-5 — Advanced)</t>
  </si>
  <si>
    <t>PRO IMMUNE GOLD PLUS</t>
  </si>
  <si>
    <t>Advanced grade needs stronger DHT protocol; immune PLUS supports follicle rescue</t>
  </si>
  <si>
    <t>Female AGA
(Grade 1-2-3)</t>
  </si>
  <si>
    <t>Inflammation terrain cleared first; female AGA pattern targeted in Phase 2</t>
  </si>
  <si>
    <t>Female AGA
(Grade 4-5 — Advanced)</t>
  </si>
  <si>
    <t>Advanced female AGA — full 3-phase protocol required</t>
  </si>
  <si>
    <t>PCOS — Hair Loss only
(No obesity)</t>
  </si>
  <si>
    <t>F-PCOS -1
(or VEG variant)</t>
  </si>
  <si>
    <t>PCOS hormonal correction drives Phase 1; inflammation cleared in Phase 2</t>
  </si>
  <si>
    <t>PCOS + Obesity
(Metabolic PCOS)</t>
  </si>
  <si>
    <t>PRO FACT META B PCOS</t>
  </si>
  <si>
    <t>Metabolic correction first (insulin resistance); then PCOS hormonal; then inflammation</t>
  </si>
  <si>
    <t>HAIR FACT TE GOLD</t>
  </si>
  <si>
    <t>Thyroid metabolic correction unlocks the terrain; inflammation cleared; then TE repair</t>
  </si>
  <si>
    <t>Alopecia Areata
(Autoimmune)</t>
  </si>
  <si>
    <t>HAIR FACT ALOPECIA AREATA</t>
  </si>
  <si>
    <t>PRO FACT META B</t>
  </si>
  <si>
    <t>Autoimmune-specific kit first; metabolic support in Ph2; inflammation in Ph3; immune last</t>
  </si>
  <si>
    <t>Peri-Menopause</t>
  </si>
  <si>
    <t>HAIR FACT PERI MENOPAUSE
(or VEG)</t>
  </si>
  <si>
    <t>Hormonal fluctuation corrected first; TE shedding addressed in Ph2; immune support last</t>
  </si>
  <si>
    <t>Menopausal metabolic shift corrected first; AGA correction in Ph2</t>
  </si>
  <si>
    <t>Endometriosis</t>
  </si>
  <si>
    <t>FH WELL targets endometriotic inflammation; systemic INFLAM kit follows</t>
  </si>
  <si>
    <t>Pregnancy</t>
  </si>
  <si>
    <t>HEALTHY - 9</t>
  </si>
  <si>
    <t>Pregnancy support ONLY — single kit, no other kits during pregnancy</t>
  </si>
  <si>
    <t>Post-delivery /
Breastfeeding</t>
  </si>
  <si>
    <t>Post-natal TE shedding addressed first; LACTIHEALTH supports lactation nutrition</t>
  </si>
  <si>
    <t>Iron Deficiency /
Anaemia</t>
  </si>
  <si>
    <t>IRON UP GOLD</t>
  </si>
  <si>
    <t>Iron repletion is non-negotiable Phase 1; immune follows; TE repair after iron restored</t>
  </si>
  <si>
    <t>Scalp Inflammation
(Dandruff / Oily / Seborrhoea)</t>
  </si>
  <si>
    <t>Inflammation is the root cause here — must be cleared before AGA correction</t>
  </si>
  <si>
    <t>Hair Breakage
(Chemical / Heat / Hard water)</t>
  </si>
  <si>
    <t>HAIR FACT HAIR BREAKAGE REPAIR(HBR)</t>
  </si>
  <si>
    <t>Shaft repair and keratin restoration first; then inflammation clearance</t>
  </si>
  <si>
    <t>Night Shift /
Circadian Disruption</t>
  </si>
  <si>
    <t>HAIR FACT NIGHT SHIFT</t>
  </si>
  <si>
    <t>Circadian reset is the primary driver; TE follows; inflammation cleared last</t>
  </si>
  <si>
    <t>Frequent Flying /
Passive Smoke Exposure</t>
  </si>
  <si>
    <t>HAIR FACT FREQUENT FLYERS</t>
  </si>
  <si>
    <t>OXIDATIVE STRESS</t>
  </si>
  <si>
    <t>Circadian + travel stress corrected first; then inflammation; then oxidative shield</t>
  </si>
  <si>
    <t>Smoking / Alcohol /
Vaping / Oxidative Stress</t>
  </si>
  <si>
    <t>Inflammation and oxidative damage require sequential correction — INFLAM enables OX kit</t>
  </si>
  <si>
    <t>Sudden Weight Loss
(Crash diet / Illness)</t>
  </si>
  <si>
    <t>RAPID WEIGHT LOSS SHIELD</t>
  </si>
  <si>
    <t>Shedding shield deployed immediately; TE repair in Ph2; immune rebuilt in Ph3</t>
  </si>
  <si>
    <t>Chronic Medical Condition
(Diabetes / BP / other)</t>
  </si>
  <si>
    <t>Metabolic root cause corrected first; immune support; inflammation clearance last</t>
  </si>
  <si>
    <t>Mouth / Tongue Ulcers
(Immune-Gut link)</t>
  </si>
  <si>
    <t>Gut-immune inflammation cleared first; oxidative stress addressed; immune rebuilt</t>
  </si>
  <si>
    <t>Trichotillomania
(Hair Pulling / OCD)</t>
  </si>
  <si>
    <t>HAIR FACT TTM (OCD)</t>
  </si>
  <si>
    <t>TTM-specific neurological support first; inflammation repair in Phase 2</t>
  </si>
  <si>
    <t>Inflammation is the universal terrain — ALWAYS Phase 1 for multi-factorial cases</t>
  </si>
  <si>
    <t>Gut Issues
(GERD / IBS / Bloating)</t>
  </si>
  <si>
    <t>Gut-hair axis: clear gut inflammation first; rebuild immune; then address TE</t>
  </si>
  <si>
    <t>Dr. FACT  —  Kit Master Reference  |  29 Active Kits  |  Use EXACT names in Protocol Designer</t>
  </si>
  <si>
    <t>#</t>
  </si>
  <si>
    <t>Kit Name (use exact spelling)</t>
  </si>
  <si>
    <t>Product Line</t>
  </si>
  <si>
    <t>Gender</t>
  </si>
  <si>
    <t>Veg Variant</t>
  </si>
  <si>
    <t>Primary Condition / Use Case</t>
  </si>
  <si>
    <t>Hair Fact</t>
  </si>
  <si>
    <t>Both</t>
  </si>
  <si>
    <t>Yes → VEG</t>
  </si>
  <si>
    <t>Telogen Effluvium — non-veg patients</t>
  </si>
  <si>
    <t>HAIR FACT TE GOLD VEG</t>
  </si>
  <si>
    <t>—</t>
  </si>
  <si>
    <t>Telogen Effluvium — veg/vegan patients</t>
  </si>
  <si>
    <t>Male</t>
  </si>
  <si>
    <t>No</t>
  </si>
  <si>
    <t>Male Androgenetic Alopecia — Grade 1-3</t>
  </si>
  <si>
    <t>Male AGA — Grade 4-5 (advanced)</t>
  </si>
  <si>
    <t>Female</t>
  </si>
  <si>
    <t>Female Androgenetic Alopecia — Grade 1-3</t>
  </si>
  <si>
    <t>Female AGA — Grade 4-5 (advanced)</t>
  </si>
  <si>
    <t>Scalp &amp; systemic inflammation — universal Phase 1</t>
  </si>
  <si>
    <t>Immune modulation — standard</t>
  </si>
  <si>
    <t>Advanced immune — Grade 4-5 / severe cases</t>
  </si>
  <si>
    <t>PRO IMMUNE VEG</t>
  </si>
  <si>
    <t>Immune modulation — veg patients</t>
  </si>
  <si>
    <t>Autoimmune alopecia areata</t>
  </si>
  <si>
    <t>Hair shaft breakage / chemical / heat / hard water</t>
  </si>
  <si>
    <t>F-PCOS -1</t>
  </si>
  <si>
    <t>PCOS hair loss — hormonal correction</t>
  </si>
  <si>
    <t>F-PCOS VEG -1</t>
  </si>
  <si>
    <t>PCOS hair loss — veg patients</t>
  </si>
  <si>
    <t>HAIR FACT PERI MENOPAUSE</t>
  </si>
  <si>
    <t>Peri-menopausal hair loss</t>
  </si>
  <si>
    <t>HAIR FACT PERI MENOPAUSE VEG</t>
  </si>
  <si>
    <t>Peri-menopause — veg patients</t>
  </si>
  <si>
    <t>Circadian disruption / night shift work</t>
  </si>
  <si>
    <t>Frequent flying / passive smoke / cabin radiation</t>
  </si>
  <si>
    <t>Trichotillomania / hair pulling compulsion</t>
  </si>
  <si>
    <t>Pregnancy support ONLY — not for weight/obesity</t>
  </si>
  <si>
    <t>Pro Fact</t>
  </si>
  <si>
    <t>Metabolic dysfunction / chronic medical condition</t>
  </si>
  <si>
    <t>PCOS + obesity / metabolic PCOS</t>
  </si>
  <si>
    <t>Sudden / rapid weight loss induced shedding</t>
  </si>
  <si>
    <t>Iron deficiency / anaemia</t>
  </si>
  <si>
    <t>Post-pregnancy / breastfeeding nutrition</t>
  </si>
  <si>
    <t>Endometriosis / hormonal inflammation</t>
  </si>
  <si>
    <t>Oxidative stress / smoking / pollution / ROS damage</t>
  </si>
  <si>
    <t>How To Use — Dr. FACT Sequential Protocol Designer</t>
  </si>
  <si>
    <t>ACTION</t>
  </si>
  <si>
    <t>INSTRUCTION</t>
  </si>
  <si>
    <t>EXAMPLE / NOTE</t>
  </si>
  <si>
    <t>Step 1</t>
  </si>
  <si>
    <t>Open the "Sequential Protocol Designer" sheet</t>
  </si>
  <si>
    <t>First tab in this workbook</t>
  </si>
  <si>
    <t>Step 2</t>
  </si>
  <si>
    <t>Find the row matching your patient condition</t>
  </si>
  <si>
    <t>e.g. "PCOS — Hair Loss only (No obesity)"</t>
  </si>
  <si>
    <t>Step 3</t>
  </si>
  <si>
    <t>Phase 1 column = the FIRST kit (Month 1-2). This MUST repair the cellular terrain.</t>
  </si>
  <si>
    <t>e.g. F-PCOS -1</t>
  </si>
  <si>
    <t>Step 4</t>
  </si>
  <si>
    <t>Phase 2 column = second kit (Month 3-4). Targets primary hair condition.</t>
  </si>
  <si>
    <t>e.g. PHENOTYPE INFLAMATION</t>
  </si>
  <si>
    <t>Step 5</t>
  </si>
  <si>
    <t>Phase 3 (Month 5-6) — only if a hormonal/metabolic layer is needed</t>
  </si>
  <si>
    <t>e.g. PRO IMMUNE GOLD</t>
  </si>
  <si>
    <t>Step 6</t>
  </si>
  <si>
    <t>Phase 4 (Month 7-8) — only for severe/multi-factorial cases</t>
  </si>
  <si>
    <t>Leave blank if not needed</t>
  </si>
  <si>
    <t>Step 7</t>
  </si>
  <si>
    <t>Update "Total Phases" column with 1, 2, 3 or 4</t>
  </si>
  <si>
    <t>Tells the AI how long the protocol is</t>
  </si>
  <si>
    <t>Step 8</t>
  </si>
  <si>
    <t>Update "Clinical Rationale" column with your reasoning</t>
  </si>
  <si>
    <t>The AI will use this to explain to patients</t>
  </si>
  <si>
    <t>Step 9</t>
  </si>
  <si>
    <t>Add a NEW ROW at the bottom if you need a new condition not listed</t>
  </si>
  <si>
    <t>Use exact kit names from Kit Master Reference sheet</t>
  </si>
  <si>
    <t>CLINICAL RULE</t>
  </si>
  <si>
    <t>PRINCIPLE</t>
  </si>
  <si>
    <t>WHY</t>
  </si>
  <si>
    <t>Phase 1 always</t>
  </si>
  <si>
    <t>Repair the cellular ENVIRONMENT first</t>
  </si>
  <si>
    <t>Inflamed / deficient cells cannot respond to targeted treatment</t>
  </si>
  <si>
    <t>Phase 2</t>
  </si>
  <si>
    <t>Target the PRIMARY hair condition</t>
  </si>
  <si>
    <t>Cellular terrain is now ready — kit absorbs and works</t>
  </si>
  <si>
    <t>Phase 3</t>
  </si>
  <si>
    <t>Address HORMONAL or METABOLIC layer</t>
  </si>
  <si>
    <t>Systemic correction that sustains Phase 2 results</t>
  </si>
  <si>
    <t>Phase 4</t>
  </si>
  <si>
    <t>CONSOLIDATE — prevent relapse</t>
  </si>
  <si>
    <t>Immune modulation prevents regression in severe cases</t>
  </si>
  <si>
    <t>Kit naming</t>
  </si>
  <si>
    <t>Always use EXACT kit names as in "Kit Master Reference" sheet</t>
  </si>
  <si>
    <t>Prevents AI mapping errors</t>
  </si>
  <si>
    <t>Veg patients</t>
  </si>
  <si>
    <t>Write base kit name — AI auto-switches to VEG variant</t>
  </si>
  <si>
    <t>Write HAIR FACT TE GOLD, not TE GOLD VEG</t>
  </si>
  <si>
    <t>Multi-factorial</t>
  </si>
  <si>
    <t>PHENOTYPE INFLAMATION should almost always be Phase 1 or 2</t>
  </si>
  <si>
    <t>It clears the terrain that blocks every other kit</t>
  </si>
  <si>
    <t>FH WELL 3</t>
  </si>
  <si>
    <t>GI GOLD</t>
  </si>
  <si>
    <t>Gut Dysbiosis /Any all Gut problems</t>
  </si>
  <si>
    <t>Post-Menopause</t>
  </si>
  <si>
    <t>PRO FACT META B POSTMENOPAUSE</t>
  </si>
  <si>
    <t>Post Menopausal hair loss / transition</t>
  </si>
  <si>
    <t>PRO FACT META B HYPOTHYROID</t>
  </si>
  <si>
    <t>Thyroid
(Hypothyroid)</t>
  </si>
  <si>
    <t>Thyroid
(Hyperthyroid)</t>
  </si>
  <si>
    <t>EARLY GREYING CARE GOLD</t>
  </si>
  <si>
    <t>EARLY GREYING CARE</t>
  </si>
  <si>
    <t>NON- VEG</t>
  </si>
  <si>
    <t>Early Greying
(Early Greying)</t>
  </si>
  <si>
    <t xml:space="preserve">EARLY GREYING CARE GOLD (or VEG variant) </t>
  </si>
  <si>
    <t>Root cause corrected first along with the specific nutritional deficiencies, oxidative stress addressed; then build immunity</t>
  </si>
  <si>
    <t>Below age 30/  All early greying hair problem</t>
  </si>
  <si>
    <t>EARLY GREYING CARE VEG</t>
  </si>
  <si>
    <t>PRO FACT THYROID CARE</t>
  </si>
  <si>
    <t>Thyroid-related hair loss (Hyper)</t>
  </si>
  <si>
    <t>Thyroid-related hair loss (Hypo)</t>
  </si>
  <si>
    <t>PRO FACT GI GOLD</t>
  </si>
  <si>
    <t>Post-delivery / Not
Breastfeeding</t>
  </si>
  <si>
    <t xml:space="preserve">PRO IMMUNE GOLD </t>
  </si>
  <si>
    <t>FPHL</t>
  </si>
  <si>
    <t>MPHL / FPHL</t>
  </si>
  <si>
    <t>MPHL</t>
  </si>
  <si>
    <t>Multi-factorial
(Stress + Gut + MPHL combined)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</si>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</sst>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9"/>
      <color rgb="FF2A5C3A"/>
      <name val="Calibri"/>
    </font>
    <font>
      <b/>
      <sz val="10"/>
      <color rgb="FFFFFFFF"/>
      <name val="Calibri"/>
    </font>
    <font>
      <b/>
      <sz val="10"/>
      <color rgb="FF1E4A2C"/>
      <name val="Calibri"/>
    </font>
    <font>
      <b/>
      <sz val="10"/>
      <color rgb="FF7A5A00"/>
      <name val="Calibri"/>
    </font>
    <font>
      <b/>
      <sz val="10"/>
      <color rgb="FF1A3A6B"/>
      <name val="Calibri"/>
    </font>
    <font>
      <b/>
      <sz val="10"/>
      <color rgb="FF6B1A1A"/>
      <name val="Calibri"/>
    </font>
    <font>
      <sz val="10"/>
      <color rgb="FF1E4A2C"/>
      <name val="Calibri"/>
    </font>
    <font>
      <sz val="10"/>
      <color rgb="FF7A5A00"/>
      <name val="Calibri"/>
    </font>
    <font>
      <sz val="10"/>
      <color rgb="FF1A3A6B"/>
      <name val="Calibri"/>
    </font>
    <font>
      <sz val="10"/>
      <color rgb="FF6B1A1A"/>
      <name val="Calibri"/>
    </font>
    <font>
      <i/>
      <sz val="10"/>
      <color rgb="FF666666"/>
      <name val="Calibri"/>
    </font>
    <font>
      <b/>
      <sz val="12"/>
      <color rgb="FFFFFFFF"/>
      <name val="Calibri"/>
    </font>
    <font>
      <sz val="10"/>
      <name val="Calibri"/>
    </font>
    <font>
      <b/>
      <sz val="10"/>
      <name val="Calibri"/>
    </font>
    <font>
      <i/>
      <sz val="10"/>
      <color rgb="FF1E4A2C"/>
      <name val="Calibri"/>
    </font>
    <font>
      <sz val="10"/>
      <color rgb="FF1E4A2C"/>
      <name val="Calibri"/>
      <family val="2"/>
    </font>
    <font>
      <sz val="10"/>
      <color rgb="FF7A5A00"/>
      <name val="Calibri"/>
      <family val="2"/>
    </font>
    <font>
      <sz val="10"/>
      <color rgb="FF1A3A6B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E4A2C"/>
      </patternFill>
    </fill>
    <fill>
      <patternFill patternType="solid">
        <fgColor rgb="FFF0F7F0"/>
      </patternFill>
    </fill>
    <fill>
      <patternFill patternType="solid">
        <fgColor rgb="FF2A5C3A"/>
      </patternFill>
    </fill>
    <fill>
      <patternFill patternType="solid">
        <fgColor rgb="FFE8F5E9"/>
      </patternFill>
    </fill>
    <fill>
      <patternFill patternType="solid">
        <fgColor rgb="FFFFF9E8"/>
      </patternFill>
    </fill>
    <fill>
      <patternFill patternType="solid">
        <fgColor rgb="FFE8F0FE"/>
      </patternFill>
    </fill>
    <fill>
      <patternFill patternType="solid">
        <fgColor rgb="FFFDE8E8"/>
      </patternFill>
    </fill>
    <fill>
      <patternFill patternType="solid">
        <fgColor rgb="FFFFFFFF"/>
      </patternFill>
    </fill>
    <fill>
      <patternFill patternType="solid">
        <fgColor rgb="FFE8F5E8"/>
      </patternFill>
    </fill>
    <fill>
      <patternFill patternType="solid">
        <fgColor rgb="FFF9F9F9"/>
      </patternFill>
    </fill>
    <fill>
      <patternFill patternType="solid">
        <fgColor rgb="FFF7FBF7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left" vertical="center" wrapText="1"/>
    </xf>
    <xf numFmtId="0" fontId="14" fillId="12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left" vertical="center"/>
    </xf>
    <xf numFmtId="0" fontId="14" fillId="12" borderId="1" xfId="0" applyFont="1" applyFill="1" applyBorder="1" applyAlignment="1">
      <alignment horizontal="left" vertical="center"/>
    </xf>
    <xf numFmtId="0" fontId="14" fillId="9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left" vertical="center"/>
    </xf>
    <xf numFmtId="0" fontId="14" fillId="9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4" fillId="12" borderId="2" xfId="0" applyFont="1" applyFill="1" applyBorder="1" applyAlignment="1">
      <alignment horizontal="center" vertical="center"/>
    </xf>
    <xf numFmtId="0" fontId="14" fillId="12" borderId="3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pane ySplit="3" topLeftCell="A23" activePane="bottomLeft" state="frozen"/>
      <selection pane="bottomLeft" activeCell="C37" sqref="C37"/>
    </sheetView>
  </sheetViews>
  <sheetFormatPr defaultRowHeight="14.4" x14ac:dyDescent="0.3"/>
  <cols>
    <col min="1" max="1" width="26" customWidth="1"/>
    <col min="2" max="2" width="40.109375" customWidth="1"/>
    <col min="3" max="5" width="30" customWidth="1"/>
    <col min="6" max="6" width="14" customWidth="1"/>
    <col min="7" max="7" width="38" customWidth="1"/>
  </cols>
  <sheetData>
    <row r="1" spans="1:7" ht="36" customHeight="1" x14ac:dyDescent="0.3">
      <c r="A1" s="39" t="s">
        <v>0</v>
      </c>
      <c r="B1" s="37"/>
      <c r="C1" s="37"/>
      <c r="D1" s="37"/>
      <c r="E1" s="37"/>
      <c r="F1" s="37"/>
      <c r="G1" s="37"/>
    </row>
    <row r="2" spans="1:7" ht="22.05" customHeight="1" x14ac:dyDescent="0.3">
      <c r="A2" s="38" t="s">
        <v>1</v>
      </c>
      <c r="B2" s="37"/>
      <c r="C2" s="37"/>
      <c r="D2" s="37"/>
      <c r="E2" s="37"/>
      <c r="F2" s="37"/>
      <c r="G2" s="37"/>
    </row>
    <row r="3" spans="1:7" ht="43.95" customHeight="1" x14ac:dyDescent="0.3">
      <c r="A3" s="1" t="s">
        <v>2</v>
      </c>
      <c r="B3" s="2" t="s">
        <v>3</v>
      </c>
      <c r="C3" s="3" t="s">
        <v>4</v>
      </c>
      <c r="D3" s="4" t="s">
        <v>5</v>
      </c>
      <c r="E3" s="5" t="s">
        <v>6</v>
      </c>
      <c r="F3" s="1" t="s">
        <v>7</v>
      </c>
      <c r="G3" s="1" t="s">
        <v>8</v>
      </c>
    </row>
    <row r="4" spans="1:7" ht="42" customHeight="1" x14ac:dyDescent="0.3">
      <c r="A4" s="6" t="s">
        <v>9</v>
      </c>
      <c r="B4" s="7" t="s">
        <v>10</v>
      </c>
      <c r="C4" s="8" t="s">
        <v>11</v>
      </c>
      <c r="D4" s="9"/>
      <c r="E4" s="10"/>
      <c r="F4" s="11">
        <f>COUNTA(B4:E4)</f>
        <v>2</v>
      </c>
      <c r="G4" s="12" t="s">
        <v>12</v>
      </c>
    </row>
    <row r="5" spans="1:7" ht="42" customHeight="1" x14ac:dyDescent="0.3">
      <c r="A5" s="6" t="s">
        <v>13</v>
      </c>
      <c r="B5" s="7" t="s">
        <v>10</v>
      </c>
      <c r="C5" s="8" t="s">
        <v>11</v>
      </c>
      <c r="D5" s="9" t="s">
        <v>14</v>
      </c>
      <c r="E5" s="10"/>
      <c r="F5" s="11">
        <f t="shared" ref="F5:F34" si="0">COUNTA(B5:E5)</f>
        <v>3</v>
      </c>
      <c r="G5" s="12" t="s">
        <v>15</v>
      </c>
    </row>
    <row r="6" spans="1:7" ht="42" customHeight="1" x14ac:dyDescent="0.3">
      <c r="A6" s="6" t="s">
        <v>16</v>
      </c>
      <c r="B6" s="7" t="s">
        <v>10</v>
      </c>
      <c r="C6" s="8" t="s">
        <v>17</v>
      </c>
      <c r="D6" s="9" t="s">
        <v>14</v>
      </c>
      <c r="E6" s="10"/>
      <c r="F6" s="11">
        <f t="shared" si="0"/>
        <v>3</v>
      </c>
      <c r="G6" s="12" t="s">
        <v>18</v>
      </c>
    </row>
    <row r="7" spans="1:7" ht="42" customHeight="1" x14ac:dyDescent="0.3">
      <c r="A7" s="6" t="s">
        <v>19</v>
      </c>
      <c r="B7" s="9" t="s">
        <v>14</v>
      </c>
      <c r="C7" s="8" t="s">
        <v>10</v>
      </c>
      <c r="D7" s="8" t="s">
        <v>11</v>
      </c>
      <c r="E7" s="10"/>
      <c r="F7" s="11">
        <f t="shared" si="0"/>
        <v>3</v>
      </c>
      <c r="G7" s="12" t="s">
        <v>20</v>
      </c>
    </row>
    <row r="8" spans="1:7" ht="42" customHeight="1" x14ac:dyDescent="0.3">
      <c r="A8" s="6" t="s">
        <v>21</v>
      </c>
      <c r="B8" s="7" t="s">
        <v>10</v>
      </c>
      <c r="C8" s="34" t="s">
        <v>211</v>
      </c>
      <c r="D8" s="9" t="s">
        <v>14</v>
      </c>
      <c r="E8" s="10"/>
      <c r="F8" s="11">
        <f t="shared" si="0"/>
        <v>3</v>
      </c>
      <c r="G8" s="12" t="s">
        <v>22</v>
      </c>
    </row>
    <row r="9" spans="1:7" ht="42" customHeight="1" x14ac:dyDescent="0.3">
      <c r="A9" s="6" t="s">
        <v>23</v>
      </c>
      <c r="B9" s="9" t="s">
        <v>208</v>
      </c>
      <c r="C9" s="34" t="s">
        <v>211</v>
      </c>
      <c r="D9" s="7" t="s">
        <v>11</v>
      </c>
      <c r="E9" s="10"/>
      <c r="F9" s="11">
        <f t="shared" si="0"/>
        <v>3</v>
      </c>
      <c r="G9" s="12" t="s">
        <v>25</v>
      </c>
    </row>
    <row r="10" spans="1:7" ht="42" customHeight="1" x14ac:dyDescent="0.3">
      <c r="A10" s="6" t="s">
        <v>26</v>
      </c>
      <c r="B10" s="7" t="s">
        <v>10</v>
      </c>
      <c r="C10" s="34" t="s">
        <v>209</v>
      </c>
      <c r="D10" s="9" t="s">
        <v>14</v>
      </c>
      <c r="E10" s="10"/>
      <c r="F10" s="11">
        <f t="shared" si="0"/>
        <v>3</v>
      </c>
      <c r="G10" s="12" t="s">
        <v>27</v>
      </c>
    </row>
    <row r="11" spans="1:7" ht="42" customHeight="1" x14ac:dyDescent="0.3">
      <c r="A11" s="6" t="s">
        <v>28</v>
      </c>
      <c r="B11" s="9" t="s">
        <v>208</v>
      </c>
      <c r="C11" s="34" t="s">
        <v>209</v>
      </c>
      <c r="D11" s="7" t="s">
        <v>11</v>
      </c>
      <c r="E11" s="10"/>
      <c r="F11" s="11">
        <f t="shared" si="0"/>
        <v>3</v>
      </c>
      <c r="G11" s="12" t="s">
        <v>29</v>
      </c>
    </row>
    <row r="12" spans="1:7" ht="42" customHeight="1" x14ac:dyDescent="0.3">
      <c r="A12" s="6" t="s">
        <v>30</v>
      </c>
      <c r="B12" s="7" t="s">
        <v>31</v>
      </c>
      <c r="C12" s="8" t="s">
        <v>11</v>
      </c>
      <c r="D12" s="9" t="s">
        <v>36</v>
      </c>
      <c r="E12" s="10"/>
      <c r="F12" s="11">
        <f t="shared" si="0"/>
        <v>3</v>
      </c>
      <c r="G12" s="12" t="s">
        <v>32</v>
      </c>
    </row>
    <row r="13" spans="1:7" ht="42" customHeight="1" x14ac:dyDescent="0.3">
      <c r="A13" s="6" t="s">
        <v>33</v>
      </c>
      <c r="B13" s="7" t="s">
        <v>34</v>
      </c>
      <c r="C13" s="9" t="s">
        <v>11</v>
      </c>
      <c r="D13" s="8" t="s">
        <v>31</v>
      </c>
      <c r="F13" s="11">
        <f t="shared" si="0"/>
        <v>3</v>
      </c>
      <c r="G13" s="12" t="s">
        <v>35</v>
      </c>
    </row>
    <row r="14" spans="1:7" ht="42" customHeight="1" x14ac:dyDescent="0.3">
      <c r="A14" s="6" t="s">
        <v>193</v>
      </c>
      <c r="B14" s="7" t="s">
        <v>192</v>
      </c>
      <c r="C14" s="8" t="s">
        <v>11</v>
      </c>
      <c r="D14" s="9" t="s">
        <v>36</v>
      </c>
      <c r="E14" s="10"/>
      <c r="F14" s="11">
        <f t="shared" si="0"/>
        <v>3</v>
      </c>
      <c r="G14" s="12" t="s">
        <v>37</v>
      </c>
    </row>
    <row r="15" spans="1:7" ht="42" customHeight="1" x14ac:dyDescent="0.3">
      <c r="A15" s="6" t="s">
        <v>194</v>
      </c>
      <c r="B15" s="7" t="s">
        <v>203</v>
      </c>
      <c r="C15" s="9" t="s">
        <v>36</v>
      </c>
      <c r="D15" s="9"/>
      <c r="E15" s="10"/>
      <c r="F15" s="11">
        <f t="shared" si="0"/>
        <v>2</v>
      </c>
      <c r="G15" s="12" t="s">
        <v>37</v>
      </c>
    </row>
    <row r="16" spans="1:7" ht="42" customHeight="1" x14ac:dyDescent="0.3">
      <c r="A16" s="6" t="s">
        <v>38</v>
      </c>
      <c r="B16" s="7" t="s">
        <v>39</v>
      </c>
      <c r="C16" s="8" t="s">
        <v>40</v>
      </c>
      <c r="D16" s="9" t="s">
        <v>11</v>
      </c>
      <c r="E16" s="10" t="s">
        <v>14</v>
      </c>
      <c r="F16" s="11">
        <f t="shared" si="0"/>
        <v>4</v>
      </c>
      <c r="G16" s="12" t="s">
        <v>41</v>
      </c>
    </row>
    <row r="17" spans="1:7" ht="42" customHeight="1" x14ac:dyDescent="0.3">
      <c r="A17" s="6" t="s">
        <v>42</v>
      </c>
      <c r="B17" s="7" t="s">
        <v>43</v>
      </c>
      <c r="C17" s="34" t="s">
        <v>209</v>
      </c>
      <c r="D17" s="9" t="s">
        <v>36</v>
      </c>
      <c r="E17" s="10" t="s">
        <v>14</v>
      </c>
      <c r="F17" s="11">
        <f t="shared" si="0"/>
        <v>4</v>
      </c>
      <c r="G17" s="12" t="s">
        <v>44</v>
      </c>
    </row>
    <row r="18" spans="1:7" ht="42" customHeight="1" x14ac:dyDescent="0.3">
      <c r="A18" s="6" t="s">
        <v>189</v>
      </c>
      <c r="B18" s="7" t="s">
        <v>190</v>
      </c>
      <c r="C18" s="34" t="s">
        <v>209</v>
      </c>
      <c r="D18" s="9" t="s">
        <v>36</v>
      </c>
      <c r="E18" s="10" t="s">
        <v>14</v>
      </c>
      <c r="F18" s="11">
        <f t="shared" ref="F18" si="1">COUNTA(B18:E18)</f>
        <v>4</v>
      </c>
      <c r="G18" s="12" t="s">
        <v>45</v>
      </c>
    </row>
    <row r="19" spans="1:7" ht="42" customHeight="1" x14ac:dyDescent="0.3">
      <c r="A19" s="6" t="s">
        <v>46</v>
      </c>
      <c r="B19" s="7" t="s">
        <v>186</v>
      </c>
      <c r="C19" s="8" t="s">
        <v>11</v>
      </c>
      <c r="D19" s="9" t="s">
        <v>14</v>
      </c>
      <c r="E19" s="10"/>
      <c r="F19" s="11">
        <f t="shared" si="0"/>
        <v>3</v>
      </c>
      <c r="G19" s="12" t="s">
        <v>47</v>
      </c>
    </row>
    <row r="20" spans="1:7" ht="42" customHeight="1" x14ac:dyDescent="0.3">
      <c r="A20" s="6" t="s">
        <v>48</v>
      </c>
      <c r="B20" s="7" t="s">
        <v>49</v>
      </c>
      <c r="C20" s="8"/>
      <c r="D20" s="9"/>
      <c r="E20" s="10"/>
      <c r="F20" s="11">
        <f t="shared" si="0"/>
        <v>1</v>
      </c>
      <c r="G20" s="12" t="s">
        <v>50</v>
      </c>
    </row>
    <row r="21" spans="1:7" ht="42" customHeight="1" x14ac:dyDescent="0.3">
      <c r="A21" s="6" t="s">
        <v>51</v>
      </c>
      <c r="B21" s="8" t="s">
        <v>17</v>
      </c>
      <c r="C21" s="7" t="s">
        <v>10</v>
      </c>
      <c r="D21" s="9" t="s">
        <v>14</v>
      </c>
      <c r="E21" s="10"/>
      <c r="F21" s="11">
        <f>COUNTA(B21:E21)</f>
        <v>3</v>
      </c>
      <c r="G21" s="12" t="s">
        <v>52</v>
      </c>
    </row>
    <row r="22" spans="1:7" ht="42" customHeight="1" x14ac:dyDescent="0.3">
      <c r="A22" s="6" t="s">
        <v>207</v>
      </c>
      <c r="B22" s="7" t="s">
        <v>10</v>
      </c>
      <c r="C22" s="9" t="s">
        <v>14</v>
      </c>
      <c r="D22" s="9"/>
      <c r="E22" s="10"/>
      <c r="F22" s="11"/>
      <c r="G22" s="12"/>
    </row>
    <row r="23" spans="1:7" ht="42" customHeight="1" x14ac:dyDescent="0.3">
      <c r="A23" s="6" t="s">
        <v>53</v>
      </c>
      <c r="B23" s="7" t="s">
        <v>54</v>
      </c>
      <c r="C23" s="8" t="s">
        <v>36</v>
      </c>
      <c r="D23" s="9" t="s">
        <v>14</v>
      </c>
      <c r="E23" s="10"/>
      <c r="F23" s="11">
        <f t="shared" si="0"/>
        <v>3</v>
      </c>
      <c r="G23" s="12" t="s">
        <v>55</v>
      </c>
    </row>
    <row r="24" spans="1:7" ht="42" customHeight="1" x14ac:dyDescent="0.3">
      <c r="A24" s="6" t="s">
        <v>56</v>
      </c>
      <c r="B24" s="7" t="s">
        <v>11</v>
      </c>
      <c r="C24" s="34" t="s">
        <v>210</v>
      </c>
      <c r="D24" s="9"/>
      <c r="E24" s="10"/>
      <c r="F24" s="11">
        <f t="shared" si="0"/>
        <v>2</v>
      </c>
      <c r="G24" s="12" t="s">
        <v>57</v>
      </c>
    </row>
    <row r="25" spans="1:7" ht="42" customHeight="1" x14ac:dyDescent="0.3">
      <c r="A25" s="6" t="s">
        <v>58</v>
      </c>
      <c r="B25" s="7" t="s">
        <v>59</v>
      </c>
      <c r="C25" s="8" t="s">
        <v>10</v>
      </c>
      <c r="D25" s="9" t="s">
        <v>11</v>
      </c>
      <c r="E25" s="10"/>
      <c r="F25" s="11">
        <f t="shared" si="0"/>
        <v>3</v>
      </c>
      <c r="G25" s="12" t="s">
        <v>60</v>
      </c>
    </row>
    <row r="26" spans="1:7" ht="42" customHeight="1" x14ac:dyDescent="0.3">
      <c r="A26" s="6" t="s">
        <v>61</v>
      </c>
      <c r="B26" s="7" t="s">
        <v>62</v>
      </c>
      <c r="C26" s="8" t="s">
        <v>10</v>
      </c>
      <c r="D26" s="9" t="s">
        <v>11</v>
      </c>
      <c r="E26" s="10"/>
      <c r="F26" s="11">
        <f t="shared" si="0"/>
        <v>3</v>
      </c>
      <c r="G26" s="12" t="s">
        <v>63</v>
      </c>
    </row>
    <row r="27" spans="1:7" ht="42" customHeight="1" x14ac:dyDescent="0.3">
      <c r="A27" s="6" t="s">
        <v>64</v>
      </c>
      <c r="B27" s="7" t="s">
        <v>65</v>
      </c>
      <c r="C27" s="8" t="s">
        <v>10</v>
      </c>
      <c r="D27" s="9" t="s">
        <v>11</v>
      </c>
      <c r="E27" s="10"/>
      <c r="F27" s="11">
        <f t="shared" si="0"/>
        <v>3</v>
      </c>
      <c r="G27" s="12" t="s">
        <v>67</v>
      </c>
    </row>
    <row r="28" spans="1:7" ht="42" customHeight="1" x14ac:dyDescent="0.3">
      <c r="A28" s="6" t="s">
        <v>68</v>
      </c>
      <c r="B28" s="7" t="s">
        <v>11</v>
      </c>
      <c r="C28" s="8" t="s">
        <v>66</v>
      </c>
      <c r="D28" s="9" t="s">
        <v>14</v>
      </c>
      <c r="E28" s="10"/>
      <c r="F28" s="11">
        <f t="shared" si="0"/>
        <v>3</v>
      </c>
      <c r="G28" s="12" t="s">
        <v>69</v>
      </c>
    </row>
    <row r="29" spans="1:7" ht="42" customHeight="1" x14ac:dyDescent="0.3">
      <c r="A29" s="6" t="s">
        <v>70</v>
      </c>
      <c r="B29" s="7" t="s">
        <v>71</v>
      </c>
      <c r="C29" s="8" t="s">
        <v>10</v>
      </c>
      <c r="D29" s="9" t="s">
        <v>14</v>
      </c>
      <c r="E29" s="10"/>
      <c r="F29" s="11">
        <f t="shared" si="0"/>
        <v>3</v>
      </c>
      <c r="G29" s="12" t="s">
        <v>72</v>
      </c>
    </row>
    <row r="30" spans="1:7" ht="42" customHeight="1" x14ac:dyDescent="0.3">
      <c r="A30" s="6" t="s">
        <v>73</v>
      </c>
      <c r="B30" s="7" t="s">
        <v>40</v>
      </c>
      <c r="C30" s="9" t="s">
        <v>11</v>
      </c>
      <c r="D30" s="8" t="s">
        <v>14</v>
      </c>
      <c r="E30" s="10"/>
      <c r="F30" s="11">
        <f t="shared" si="0"/>
        <v>3</v>
      </c>
      <c r="G30" s="12" t="s">
        <v>74</v>
      </c>
    </row>
    <row r="31" spans="1:7" ht="42" customHeight="1" x14ac:dyDescent="0.3">
      <c r="A31" s="6" t="s">
        <v>75</v>
      </c>
      <c r="B31" s="7" t="s">
        <v>11</v>
      </c>
      <c r="C31" s="8" t="s">
        <v>14</v>
      </c>
      <c r="D31" s="9" t="s">
        <v>66</v>
      </c>
      <c r="E31" s="10"/>
      <c r="F31" s="11">
        <f t="shared" si="0"/>
        <v>3</v>
      </c>
      <c r="G31" s="12" t="s">
        <v>76</v>
      </c>
    </row>
    <row r="32" spans="1:7" ht="42" customHeight="1" x14ac:dyDescent="0.3">
      <c r="A32" s="6" t="s">
        <v>77</v>
      </c>
      <c r="B32" s="7" t="s">
        <v>78</v>
      </c>
      <c r="C32" s="9" t="s">
        <v>10</v>
      </c>
      <c r="D32" s="9" t="s">
        <v>11</v>
      </c>
      <c r="E32" s="10"/>
      <c r="F32" s="11">
        <f t="shared" si="0"/>
        <v>3</v>
      </c>
      <c r="G32" s="12" t="s">
        <v>79</v>
      </c>
    </row>
    <row r="33" spans="1:7" ht="42" customHeight="1" x14ac:dyDescent="0.3">
      <c r="A33" s="6" t="s">
        <v>212</v>
      </c>
      <c r="B33" s="7" t="s">
        <v>11</v>
      </c>
      <c r="C33" s="8" t="s">
        <v>10</v>
      </c>
      <c r="D33" s="31" t="s">
        <v>187</v>
      </c>
      <c r="E33" s="35" t="s">
        <v>210</v>
      </c>
      <c r="F33" s="11">
        <f>COUNTA(B33:E33)</f>
        <v>4</v>
      </c>
      <c r="G33" s="12" t="s">
        <v>80</v>
      </c>
    </row>
    <row r="34" spans="1:7" ht="42" customHeight="1" x14ac:dyDescent="0.3">
      <c r="A34" s="6" t="s">
        <v>81</v>
      </c>
      <c r="B34" s="31" t="s">
        <v>187</v>
      </c>
      <c r="C34" s="8" t="s">
        <v>11</v>
      </c>
      <c r="D34" s="9" t="s">
        <v>14</v>
      </c>
      <c r="E34" s="10" t="s">
        <v>36</v>
      </c>
      <c r="F34" s="11">
        <f t="shared" si="0"/>
        <v>4</v>
      </c>
      <c r="G34" s="12" t="s">
        <v>82</v>
      </c>
    </row>
    <row r="35" spans="1:7" ht="41.4" x14ac:dyDescent="0.3">
      <c r="A35" s="6" t="s">
        <v>198</v>
      </c>
      <c r="B35" s="31" t="s">
        <v>199</v>
      </c>
      <c r="C35" s="8" t="s">
        <v>66</v>
      </c>
      <c r="D35" s="9" t="s">
        <v>14</v>
      </c>
      <c r="E35" s="10"/>
      <c r="F35" s="11">
        <v>3</v>
      </c>
      <c r="G35" s="12" t="s">
        <v>200</v>
      </c>
    </row>
  </sheetData>
  <autoFilter ref="A3:G35" xr:uid="{00000000-0001-0000-0000-000000000000}"/>
  <mergeCells count="2">
    <mergeCell ref="A2:G2"/>
    <mergeCell ref="A1:G1"/>
  </mergeCells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"/>
  <sheetViews>
    <sheetView zoomScale="135" workbookViewId="0">
      <pane ySplit="2" topLeftCell="A28" activePane="bottomLeft" state="frozen"/>
      <selection pane="bottomLeft" activeCell="B3" sqref="B3:B36"/>
    </sheetView>
  </sheetViews>
  <sheetFormatPr defaultRowHeight="14.4" x14ac:dyDescent="0.3"/>
  <cols>
    <col min="1" max="1" width="5" customWidth="1"/>
    <col min="2" max="2" width="36" customWidth="1"/>
    <col min="3" max="3" width="14" customWidth="1"/>
    <col min="4" max="4" width="12" customWidth="1"/>
    <col min="5" max="5" width="16" customWidth="1"/>
    <col min="6" max="6" width="42.33203125" customWidth="1"/>
  </cols>
  <sheetData>
    <row r="1" spans="1:6" ht="31.95" customHeight="1" x14ac:dyDescent="0.3">
      <c r="A1" s="36" t="s">
        <v>83</v>
      </c>
      <c r="B1" s="37"/>
      <c r="C1" s="37"/>
      <c r="D1" s="37"/>
      <c r="E1" s="37"/>
      <c r="F1" s="37"/>
    </row>
    <row r="2" spans="1:6" ht="25.95" customHeight="1" x14ac:dyDescent="0.3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</row>
    <row r="3" spans="1:6" ht="22.05" customHeight="1" x14ac:dyDescent="0.3">
      <c r="A3" s="13">
        <v>1</v>
      </c>
      <c r="B3" s="14" t="s">
        <v>36</v>
      </c>
      <c r="C3" s="13" t="s">
        <v>90</v>
      </c>
      <c r="D3" s="13" t="s">
        <v>91</v>
      </c>
      <c r="E3" s="13" t="s">
        <v>92</v>
      </c>
      <c r="F3" s="15" t="s">
        <v>93</v>
      </c>
    </row>
    <row r="4" spans="1:6" ht="22.05" customHeight="1" x14ac:dyDescent="0.3">
      <c r="A4" s="16">
        <v>2</v>
      </c>
      <c r="B4" s="17" t="s">
        <v>94</v>
      </c>
      <c r="C4" s="16" t="s">
        <v>90</v>
      </c>
      <c r="D4" s="16" t="s">
        <v>91</v>
      </c>
      <c r="E4" s="16" t="s">
        <v>95</v>
      </c>
      <c r="F4" s="18" t="s">
        <v>96</v>
      </c>
    </row>
    <row r="5" spans="1:6" ht="22.05" customHeight="1" x14ac:dyDescent="0.3">
      <c r="A5" s="13">
        <v>3</v>
      </c>
      <c r="B5" s="14" t="s">
        <v>211</v>
      </c>
      <c r="C5" s="13" t="s">
        <v>90</v>
      </c>
      <c r="D5" s="13" t="s">
        <v>97</v>
      </c>
      <c r="E5" s="13" t="s">
        <v>98</v>
      </c>
      <c r="F5" s="15" t="s">
        <v>99</v>
      </c>
    </row>
    <row r="6" spans="1:6" ht="22.05" customHeight="1" x14ac:dyDescent="0.3">
      <c r="A6" s="16">
        <v>4</v>
      </c>
      <c r="B6" s="17" t="s">
        <v>211</v>
      </c>
      <c r="C6" s="16" t="s">
        <v>90</v>
      </c>
      <c r="D6" s="16" t="s">
        <v>97</v>
      </c>
      <c r="E6" s="16" t="s">
        <v>98</v>
      </c>
      <c r="F6" s="18" t="s">
        <v>100</v>
      </c>
    </row>
    <row r="7" spans="1:6" ht="22.05" customHeight="1" x14ac:dyDescent="0.3">
      <c r="A7" s="13">
        <v>5</v>
      </c>
      <c r="B7" s="14" t="s">
        <v>209</v>
      </c>
      <c r="C7" s="13" t="s">
        <v>90</v>
      </c>
      <c r="D7" s="13" t="s">
        <v>101</v>
      </c>
      <c r="E7" s="13" t="s">
        <v>98</v>
      </c>
      <c r="F7" s="15" t="s">
        <v>102</v>
      </c>
    </row>
    <row r="8" spans="1:6" ht="22.05" customHeight="1" x14ac:dyDescent="0.3">
      <c r="A8" s="16">
        <v>6</v>
      </c>
      <c r="B8" s="17" t="s">
        <v>209</v>
      </c>
      <c r="C8" s="16" t="s">
        <v>90</v>
      </c>
      <c r="D8" s="16" t="s">
        <v>101</v>
      </c>
      <c r="E8" s="16" t="s">
        <v>98</v>
      </c>
      <c r="F8" s="18" t="s">
        <v>103</v>
      </c>
    </row>
    <row r="9" spans="1:6" ht="22.05" customHeight="1" x14ac:dyDescent="0.3">
      <c r="A9" s="13">
        <v>7</v>
      </c>
      <c r="B9" s="14" t="s">
        <v>11</v>
      </c>
      <c r="C9" s="13" t="s">
        <v>90</v>
      </c>
      <c r="D9" s="13" t="s">
        <v>91</v>
      </c>
      <c r="E9" s="13" t="s">
        <v>98</v>
      </c>
      <c r="F9" s="15" t="s">
        <v>104</v>
      </c>
    </row>
    <row r="10" spans="1:6" ht="22.05" customHeight="1" x14ac:dyDescent="0.3">
      <c r="A10" s="16">
        <v>8</v>
      </c>
      <c r="B10" s="17" t="s">
        <v>14</v>
      </c>
      <c r="C10" s="16" t="s">
        <v>90</v>
      </c>
      <c r="D10" s="16" t="s">
        <v>91</v>
      </c>
      <c r="E10" s="16" t="s">
        <v>98</v>
      </c>
      <c r="F10" s="18" t="s">
        <v>105</v>
      </c>
    </row>
    <row r="11" spans="1:6" ht="22.05" customHeight="1" x14ac:dyDescent="0.3">
      <c r="A11" s="13">
        <v>9</v>
      </c>
      <c r="B11" s="14" t="s">
        <v>24</v>
      </c>
      <c r="C11" s="13" t="s">
        <v>90</v>
      </c>
      <c r="D11" s="13" t="s">
        <v>91</v>
      </c>
      <c r="E11" s="13" t="s">
        <v>98</v>
      </c>
      <c r="F11" s="15" t="s">
        <v>106</v>
      </c>
    </row>
    <row r="12" spans="1:6" ht="22.05" customHeight="1" x14ac:dyDescent="0.3">
      <c r="A12" s="16">
        <v>10</v>
      </c>
      <c r="B12" s="17" t="s">
        <v>107</v>
      </c>
      <c r="C12" s="16" t="s">
        <v>90</v>
      </c>
      <c r="D12" s="16" t="s">
        <v>91</v>
      </c>
      <c r="E12" s="16" t="s">
        <v>95</v>
      </c>
      <c r="F12" s="18" t="s">
        <v>108</v>
      </c>
    </row>
    <row r="13" spans="1:6" ht="22.05" customHeight="1" x14ac:dyDescent="0.3">
      <c r="A13" s="13">
        <v>11</v>
      </c>
      <c r="B13" s="14" t="s">
        <v>39</v>
      </c>
      <c r="C13" s="13" t="s">
        <v>90</v>
      </c>
      <c r="D13" s="13" t="s">
        <v>91</v>
      </c>
      <c r="E13" s="13" t="s">
        <v>98</v>
      </c>
      <c r="F13" s="15" t="s">
        <v>109</v>
      </c>
    </row>
    <row r="14" spans="1:6" ht="22.05" customHeight="1" x14ac:dyDescent="0.3">
      <c r="A14" s="16">
        <v>12</v>
      </c>
      <c r="B14" s="17" t="s">
        <v>59</v>
      </c>
      <c r="C14" s="16" t="s">
        <v>90</v>
      </c>
      <c r="D14" s="16" t="s">
        <v>91</v>
      </c>
      <c r="E14" s="16" t="s">
        <v>98</v>
      </c>
      <c r="F14" s="18" t="s">
        <v>110</v>
      </c>
    </row>
    <row r="15" spans="1:6" ht="22.05" customHeight="1" x14ac:dyDescent="0.3">
      <c r="A15" s="13">
        <v>13</v>
      </c>
      <c r="B15" s="14" t="s">
        <v>111</v>
      </c>
      <c r="C15" s="13" t="s">
        <v>90</v>
      </c>
      <c r="D15" s="13" t="s">
        <v>101</v>
      </c>
      <c r="E15" s="13" t="s">
        <v>92</v>
      </c>
      <c r="F15" s="15" t="s">
        <v>112</v>
      </c>
    </row>
    <row r="16" spans="1:6" ht="22.05" customHeight="1" x14ac:dyDescent="0.3">
      <c r="A16" s="16">
        <v>14</v>
      </c>
      <c r="B16" s="17" t="s">
        <v>113</v>
      </c>
      <c r="C16" s="16" t="s">
        <v>90</v>
      </c>
      <c r="D16" s="16" t="s">
        <v>101</v>
      </c>
      <c r="E16" s="16" t="s">
        <v>95</v>
      </c>
      <c r="F16" s="18" t="s">
        <v>114</v>
      </c>
    </row>
    <row r="17" spans="1:6" ht="22.05" customHeight="1" x14ac:dyDescent="0.3">
      <c r="A17" s="13">
        <v>15</v>
      </c>
      <c r="B17" s="14" t="s">
        <v>115</v>
      </c>
      <c r="C17" s="13" t="s">
        <v>90</v>
      </c>
      <c r="D17" s="13" t="s">
        <v>101</v>
      </c>
      <c r="E17" s="13" t="s">
        <v>92</v>
      </c>
      <c r="F17" s="15" t="s">
        <v>116</v>
      </c>
    </row>
    <row r="18" spans="1:6" ht="22.05" customHeight="1" x14ac:dyDescent="0.3">
      <c r="A18" s="16">
        <v>16</v>
      </c>
      <c r="B18" s="17" t="s">
        <v>117</v>
      </c>
      <c r="C18" s="16" t="s">
        <v>90</v>
      </c>
      <c r="D18" s="16" t="s">
        <v>101</v>
      </c>
      <c r="E18" s="16" t="s">
        <v>95</v>
      </c>
      <c r="F18" s="18" t="s">
        <v>118</v>
      </c>
    </row>
    <row r="19" spans="1:6" ht="22.05" customHeight="1" x14ac:dyDescent="0.3">
      <c r="A19" s="13">
        <v>17</v>
      </c>
      <c r="B19" s="14" t="s">
        <v>62</v>
      </c>
      <c r="C19" s="13" t="s">
        <v>90</v>
      </c>
      <c r="D19" s="13" t="s">
        <v>91</v>
      </c>
      <c r="E19" s="13" t="s">
        <v>98</v>
      </c>
      <c r="F19" s="15" t="s">
        <v>119</v>
      </c>
    </row>
    <row r="20" spans="1:6" ht="22.05" customHeight="1" x14ac:dyDescent="0.3">
      <c r="A20" s="16">
        <v>18</v>
      </c>
      <c r="B20" s="17" t="s">
        <v>65</v>
      </c>
      <c r="C20" s="16" t="s">
        <v>90</v>
      </c>
      <c r="D20" s="16" t="s">
        <v>91</v>
      </c>
      <c r="E20" s="16" t="s">
        <v>98</v>
      </c>
      <c r="F20" s="18" t="s">
        <v>120</v>
      </c>
    </row>
    <row r="21" spans="1:6" ht="22.05" customHeight="1" x14ac:dyDescent="0.3">
      <c r="A21" s="13">
        <v>19</v>
      </c>
      <c r="B21" s="14" t="s">
        <v>78</v>
      </c>
      <c r="C21" s="13" t="s">
        <v>90</v>
      </c>
      <c r="D21" s="13" t="s">
        <v>91</v>
      </c>
      <c r="E21" s="13" t="s">
        <v>98</v>
      </c>
      <c r="F21" s="15" t="s">
        <v>121</v>
      </c>
    </row>
    <row r="22" spans="1:6" ht="22.05" customHeight="1" x14ac:dyDescent="0.3">
      <c r="A22" s="16">
        <v>20</v>
      </c>
      <c r="B22" s="17" t="s">
        <v>49</v>
      </c>
      <c r="C22" s="16" t="s">
        <v>90</v>
      </c>
      <c r="D22" s="16" t="s">
        <v>101</v>
      </c>
      <c r="E22" s="16" t="s">
        <v>98</v>
      </c>
      <c r="F22" s="18" t="s">
        <v>122</v>
      </c>
    </row>
    <row r="23" spans="1:6" ht="22.05" customHeight="1" x14ac:dyDescent="0.3">
      <c r="A23" s="13">
        <v>21</v>
      </c>
      <c r="B23" s="14" t="s">
        <v>40</v>
      </c>
      <c r="C23" s="13" t="s">
        <v>123</v>
      </c>
      <c r="D23" s="13" t="s">
        <v>91</v>
      </c>
      <c r="E23" s="13" t="s">
        <v>98</v>
      </c>
      <c r="F23" s="15" t="s">
        <v>124</v>
      </c>
    </row>
    <row r="24" spans="1:6" ht="22.05" customHeight="1" x14ac:dyDescent="0.3">
      <c r="A24" s="16">
        <v>22</v>
      </c>
      <c r="B24" s="17" t="s">
        <v>34</v>
      </c>
      <c r="C24" s="16" t="s">
        <v>123</v>
      </c>
      <c r="D24" s="16" t="s">
        <v>101</v>
      </c>
      <c r="E24" s="16" t="s">
        <v>98</v>
      </c>
      <c r="F24" s="18" t="s">
        <v>125</v>
      </c>
    </row>
    <row r="25" spans="1:6" ht="22.05" customHeight="1" x14ac:dyDescent="0.3">
      <c r="A25" s="13">
        <v>23</v>
      </c>
      <c r="B25" s="14" t="s">
        <v>192</v>
      </c>
      <c r="C25" s="13" t="s">
        <v>123</v>
      </c>
      <c r="D25" s="13" t="s">
        <v>101</v>
      </c>
      <c r="E25" s="13" t="s">
        <v>98</v>
      </c>
      <c r="F25" s="15" t="s">
        <v>205</v>
      </c>
    </row>
    <row r="26" spans="1:6" ht="22.05" customHeight="1" x14ac:dyDescent="0.3">
      <c r="A26" s="13">
        <v>23</v>
      </c>
      <c r="B26" s="14" t="s">
        <v>203</v>
      </c>
      <c r="C26" s="13" t="s">
        <v>123</v>
      </c>
      <c r="D26" s="13" t="s">
        <v>101</v>
      </c>
      <c r="E26" s="13" t="s">
        <v>98</v>
      </c>
      <c r="F26" s="15" t="s">
        <v>204</v>
      </c>
    </row>
    <row r="27" spans="1:6" ht="22.05" customHeight="1" x14ac:dyDescent="0.3">
      <c r="A27" s="16">
        <v>24</v>
      </c>
      <c r="B27" s="14" t="s">
        <v>71</v>
      </c>
      <c r="C27" s="13" t="s">
        <v>90</v>
      </c>
      <c r="D27" s="13" t="s">
        <v>91</v>
      </c>
      <c r="E27" s="13" t="s">
        <v>98</v>
      </c>
      <c r="F27" s="15" t="s">
        <v>126</v>
      </c>
    </row>
    <row r="28" spans="1:6" ht="22.05" customHeight="1" x14ac:dyDescent="0.3">
      <c r="A28" s="13">
        <v>25</v>
      </c>
      <c r="B28" s="17" t="s">
        <v>54</v>
      </c>
      <c r="C28" s="16" t="s">
        <v>90</v>
      </c>
      <c r="D28" s="16" t="s">
        <v>91</v>
      </c>
      <c r="E28" s="16" t="s">
        <v>98</v>
      </c>
      <c r="F28" s="18" t="s">
        <v>127</v>
      </c>
    </row>
    <row r="29" spans="1:6" ht="22.05" customHeight="1" x14ac:dyDescent="0.3">
      <c r="A29" s="16">
        <v>26</v>
      </c>
      <c r="B29" s="14" t="s">
        <v>17</v>
      </c>
      <c r="C29" s="13" t="s">
        <v>90</v>
      </c>
      <c r="D29" s="13" t="s">
        <v>101</v>
      </c>
      <c r="E29" s="13" t="s">
        <v>98</v>
      </c>
      <c r="F29" s="15" t="s">
        <v>128</v>
      </c>
    </row>
    <row r="30" spans="1:6" ht="22.05" customHeight="1" x14ac:dyDescent="0.3">
      <c r="A30" s="13">
        <v>27</v>
      </c>
      <c r="B30" s="17" t="s">
        <v>186</v>
      </c>
      <c r="C30" s="16" t="s">
        <v>90</v>
      </c>
      <c r="D30" s="16" t="s">
        <v>101</v>
      </c>
      <c r="E30" s="16" t="s">
        <v>98</v>
      </c>
      <c r="F30" s="18" t="s">
        <v>129</v>
      </c>
    </row>
    <row r="31" spans="1:6" ht="22.05" customHeight="1" x14ac:dyDescent="0.3">
      <c r="A31" s="16">
        <v>28</v>
      </c>
      <c r="B31" s="14" t="s">
        <v>66</v>
      </c>
      <c r="C31" s="13" t="s">
        <v>90</v>
      </c>
      <c r="D31" s="13" t="s">
        <v>91</v>
      </c>
      <c r="E31" s="13" t="s">
        <v>98</v>
      </c>
      <c r="F31" s="15" t="s">
        <v>130</v>
      </c>
    </row>
    <row r="32" spans="1:6" x14ac:dyDescent="0.3">
      <c r="A32" s="13">
        <v>29</v>
      </c>
      <c r="B32" s="14" t="s">
        <v>206</v>
      </c>
      <c r="C32" s="13" t="s">
        <v>123</v>
      </c>
      <c r="D32" s="13" t="s">
        <v>91</v>
      </c>
      <c r="E32" s="13" t="s">
        <v>92</v>
      </c>
      <c r="F32" s="15" t="s">
        <v>188</v>
      </c>
    </row>
    <row r="33" spans="1:6" x14ac:dyDescent="0.3">
      <c r="A33" s="16">
        <v>30</v>
      </c>
      <c r="B33" s="17" t="s">
        <v>190</v>
      </c>
      <c r="C33" s="16" t="s">
        <v>123</v>
      </c>
      <c r="D33" s="16" t="s">
        <v>101</v>
      </c>
      <c r="E33" s="16" t="s">
        <v>98</v>
      </c>
      <c r="F33" s="15" t="s">
        <v>191</v>
      </c>
    </row>
    <row r="34" spans="1:6" x14ac:dyDescent="0.3">
      <c r="A34" s="32">
        <v>31</v>
      </c>
      <c r="B34" s="17" t="s">
        <v>196</v>
      </c>
      <c r="C34" s="13" t="s">
        <v>90</v>
      </c>
      <c r="D34" s="13" t="s">
        <v>91</v>
      </c>
      <c r="E34" s="33" t="s">
        <v>92</v>
      </c>
      <c r="F34" s="15" t="s">
        <v>201</v>
      </c>
    </row>
    <row r="35" spans="1:6" x14ac:dyDescent="0.3">
      <c r="A35" s="32">
        <v>32</v>
      </c>
      <c r="B35" s="17" t="s">
        <v>202</v>
      </c>
      <c r="C35" s="13" t="s">
        <v>90</v>
      </c>
      <c r="D35" s="13" t="s">
        <v>91</v>
      </c>
      <c r="E35" s="33"/>
      <c r="F35" s="15" t="s">
        <v>201</v>
      </c>
    </row>
    <row r="36" spans="1:6" x14ac:dyDescent="0.3">
      <c r="A36" s="32">
        <v>33</v>
      </c>
      <c r="B36" s="17" t="s">
        <v>195</v>
      </c>
      <c r="C36" s="13" t="s">
        <v>90</v>
      </c>
      <c r="D36" s="13" t="s">
        <v>91</v>
      </c>
      <c r="E36" s="33" t="s">
        <v>197</v>
      </c>
      <c r="F36" s="15" t="s">
        <v>201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142C2-AD7E-4582-B53E-7DC31F153F6A}">
  <dimension ref="B2:U35"/>
  <sheetViews>
    <sheetView workbookViewId="0">
      <selection activeCell="G14" sqref="G14"/>
    </sheetView>
  </sheetViews>
  <sheetFormatPr defaultRowHeight="14.4" x14ac:dyDescent="0.3"/>
  <sheetData>
    <row r="2" spans="2:21" x14ac:dyDescent="0.3">
      <c r="B2" t="s">
        <v>213</v>
      </c>
      <c r="U2" s="14" t="s">
        <v>36</v>
      </c>
    </row>
    <row r="3" spans="2:21" x14ac:dyDescent="0.3">
      <c r="U3" s="17" t="s">
        <v>94</v>
      </c>
    </row>
    <row r="4" spans="2:21" x14ac:dyDescent="0.3">
      <c r="U4" s="14" t="s">
        <v>211</v>
      </c>
    </row>
    <row r="5" spans="2:21" x14ac:dyDescent="0.3">
      <c r="U5" s="17" t="s">
        <v>211</v>
      </c>
    </row>
    <row r="6" spans="2:21" x14ac:dyDescent="0.3">
      <c r="U6" s="14" t="s">
        <v>209</v>
      </c>
    </row>
    <row r="7" spans="2:21" x14ac:dyDescent="0.3">
      <c r="U7" s="17" t="s">
        <v>209</v>
      </c>
    </row>
    <row r="8" spans="2:21" x14ac:dyDescent="0.3">
      <c r="U8" s="14" t="s">
        <v>11</v>
      </c>
    </row>
    <row r="9" spans="2:21" x14ac:dyDescent="0.3">
      <c r="U9" s="17" t="s">
        <v>14</v>
      </c>
    </row>
    <row r="10" spans="2:21" x14ac:dyDescent="0.3">
      <c r="U10" s="14" t="s">
        <v>24</v>
      </c>
    </row>
    <row r="11" spans="2:21" x14ac:dyDescent="0.3">
      <c r="U11" s="17" t="s">
        <v>107</v>
      </c>
    </row>
    <row r="12" spans="2:21" x14ac:dyDescent="0.3">
      <c r="U12" s="14" t="s">
        <v>39</v>
      </c>
    </row>
    <row r="13" spans="2:21" x14ac:dyDescent="0.3">
      <c r="U13" s="17" t="s">
        <v>59</v>
      </c>
    </row>
    <row r="14" spans="2:21" x14ac:dyDescent="0.3">
      <c r="U14" s="14" t="s">
        <v>111</v>
      </c>
    </row>
    <row r="15" spans="2:21" x14ac:dyDescent="0.3">
      <c r="U15" s="17" t="s">
        <v>113</v>
      </c>
    </row>
    <row r="16" spans="2:21" x14ac:dyDescent="0.3">
      <c r="U16" s="14" t="s">
        <v>115</v>
      </c>
    </row>
    <row r="17" spans="21:21" x14ac:dyDescent="0.3">
      <c r="U17" s="17" t="s">
        <v>117</v>
      </c>
    </row>
    <row r="18" spans="21:21" x14ac:dyDescent="0.3">
      <c r="U18" s="14" t="s">
        <v>62</v>
      </c>
    </row>
    <row r="19" spans="21:21" x14ac:dyDescent="0.3">
      <c r="U19" s="17" t="s">
        <v>65</v>
      </c>
    </row>
    <row r="20" spans="21:21" x14ac:dyDescent="0.3">
      <c r="U20" s="14" t="s">
        <v>78</v>
      </c>
    </row>
    <row r="21" spans="21:21" x14ac:dyDescent="0.3">
      <c r="U21" s="17" t="s">
        <v>49</v>
      </c>
    </row>
    <row r="22" spans="21:21" x14ac:dyDescent="0.3">
      <c r="U22" s="14" t="s">
        <v>40</v>
      </c>
    </row>
    <row r="23" spans="21:21" x14ac:dyDescent="0.3">
      <c r="U23" s="17" t="s">
        <v>34</v>
      </c>
    </row>
    <row r="24" spans="21:21" x14ac:dyDescent="0.3">
      <c r="U24" s="14" t="s">
        <v>192</v>
      </c>
    </row>
    <row r="25" spans="21:21" x14ac:dyDescent="0.3">
      <c r="U25" s="14" t="s">
        <v>203</v>
      </c>
    </row>
    <row r="26" spans="21:21" x14ac:dyDescent="0.3">
      <c r="U26" s="14" t="s">
        <v>71</v>
      </c>
    </row>
    <row r="27" spans="21:21" x14ac:dyDescent="0.3">
      <c r="U27" s="17" t="s">
        <v>54</v>
      </c>
    </row>
    <row r="28" spans="21:21" x14ac:dyDescent="0.3">
      <c r="U28" s="14" t="s">
        <v>17</v>
      </c>
    </row>
    <row r="29" spans="21:21" x14ac:dyDescent="0.3">
      <c r="U29" s="17" t="s">
        <v>186</v>
      </c>
    </row>
    <row r="30" spans="21:21" x14ac:dyDescent="0.3">
      <c r="U30" s="14" t="s">
        <v>66</v>
      </c>
    </row>
    <row r="31" spans="21:21" x14ac:dyDescent="0.3">
      <c r="U31" s="14" t="s">
        <v>206</v>
      </c>
    </row>
    <row r="32" spans="21:21" x14ac:dyDescent="0.3">
      <c r="U32" s="17" t="s">
        <v>190</v>
      </c>
    </row>
    <row r="33" spans="21:21" x14ac:dyDescent="0.3">
      <c r="U33" s="17" t="s">
        <v>196</v>
      </c>
    </row>
    <row r="34" spans="21:21" x14ac:dyDescent="0.3">
      <c r="U34" s="17" t="s">
        <v>202</v>
      </c>
    </row>
    <row r="35" spans="21:21" x14ac:dyDescent="0.3">
      <c r="U35" s="17" t="s">
        <v>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>
      <pane ySplit="1" topLeftCell="A17" activePane="bottomLeft" state="frozen"/>
      <selection pane="bottomLeft" activeCell="F11" sqref="F11"/>
    </sheetView>
  </sheetViews>
  <sheetFormatPr defaultRowHeight="14.4" x14ac:dyDescent="0.3"/>
  <cols>
    <col min="1" max="1" width="14" customWidth="1"/>
    <col min="2" max="2" width="55" customWidth="1"/>
    <col min="3" max="3" width="45" customWidth="1"/>
  </cols>
  <sheetData>
    <row r="1" spans="1:3" ht="34.049999999999997" customHeight="1" x14ac:dyDescent="0.3">
      <c r="A1" s="39" t="s">
        <v>131</v>
      </c>
      <c r="B1" s="37"/>
      <c r="C1" s="37"/>
    </row>
    <row r="2" spans="1:3" ht="30" customHeight="1" x14ac:dyDescent="0.3">
      <c r="A2" s="1" t="s">
        <v>132</v>
      </c>
      <c r="B2" s="19" t="s">
        <v>133</v>
      </c>
      <c r="C2" s="19" t="s">
        <v>134</v>
      </c>
    </row>
    <row r="3" spans="1:3" ht="30" customHeight="1" x14ac:dyDescent="0.3">
      <c r="A3" s="2" t="s">
        <v>135</v>
      </c>
      <c r="B3" s="20" t="s">
        <v>136</v>
      </c>
      <c r="C3" s="20" t="s">
        <v>137</v>
      </c>
    </row>
    <row r="4" spans="1:3" ht="30" customHeight="1" x14ac:dyDescent="0.3">
      <c r="A4" s="2" t="s">
        <v>138</v>
      </c>
      <c r="B4" s="20" t="s">
        <v>139</v>
      </c>
      <c r="C4" s="20" t="s">
        <v>140</v>
      </c>
    </row>
    <row r="5" spans="1:3" ht="30" customHeight="1" x14ac:dyDescent="0.3">
      <c r="A5" s="2" t="s">
        <v>141</v>
      </c>
      <c r="B5" s="20" t="s">
        <v>142</v>
      </c>
      <c r="C5" s="20" t="s">
        <v>143</v>
      </c>
    </row>
    <row r="6" spans="1:3" ht="30" customHeight="1" x14ac:dyDescent="0.3">
      <c r="A6" s="21" t="s">
        <v>144</v>
      </c>
      <c r="B6" s="22" t="s">
        <v>145</v>
      </c>
      <c r="C6" s="22" t="s">
        <v>146</v>
      </c>
    </row>
    <row r="7" spans="1:3" ht="30" customHeight="1" x14ac:dyDescent="0.3">
      <c r="A7" s="23" t="s">
        <v>147</v>
      </c>
      <c r="B7" s="24" t="s">
        <v>148</v>
      </c>
      <c r="C7" s="24" t="s">
        <v>149</v>
      </c>
    </row>
    <row r="8" spans="1:3" ht="30" customHeight="1" x14ac:dyDescent="0.3">
      <c r="A8" s="25" t="s">
        <v>150</v>
      </c>
      <c r="B8" s="26" t="s">
        <v>151</v>
      </c>
      <c r="C8" s="26" t="s">
        <v>152</v>
      </c>
    </row>
    <row r="9" spans="1:3" ht="30" customHeight="1" x14ac:dyDescent="0.3">
      <c r="A9" s="27" t="s">
        <v>153</v>
      </c>
      <c r="B9" s="28" t="s">
        <v>154</v>
      </c>
      <c r="C9" s="28" t="s">
        <v>155</v>
      </c>
    </row>
    <row r="10" spans="1:3" ht="30" customHeight="1" x14ac:dyDescent="0.3">
      <c r="A10" s="27" t="s">
        <v>156</v>
      </c>
      <c r="B10" s="28" t="s">
        <v>157</v>
      </c>
      <c r="C10" s="28" t="s">
        <v>158</v>
      </c>
    </row>
    <row r="11" spans="1:3" ht="30" customHeight="1" x14ac:dyDescent="0.3">
      <c r="A11" s="27" t="s">
        <v>159</v>
      </c>
      <c r="B11" s="28" t="s">
        <v>160</v>
      </c>
      <c r="C11" s="28" t="s">
        <v>161</v>
      </c>
    </row>
    <row r="12" spans="1:3" ht="30" customHeight="1" x14ac:dyDescent="0.3">
      <c r="A12" s="27"/>
      <c r="B12" s="6"/>
      <c r="C12" s="6"/>
    </row>
    <row r="13" spans="1:3" ht="30" customHeight="1" x14ac:dyDescent="0.3">
      <c r="A13" s="1" t="s">
        <v>162</v>
      </c>
      <c r="B13" s="19" t="s">
        <v>163</v>
      </c>
      <c r="C13" s="19" t="s">
        <v>164</v>
      </c>
    </row>
    <row r="14" spans="1:3" ht="30" customHeight="1" x14ac:dyDescent="0.3">
      <c r="A14" s="2" t="s">
        <v>165</v>
      </c>
      <c r="B14" s="20" t="s">
        <v>166</v>
      </c>
      <c r="C14" s="20" t="s">
        <v>167</v>
      </c>
    </row>
    <row r="15" spans="1:3" ht="30" customHeight="1" x14ac:dyDescent="0.3">
      <c r="A15" s="21" t="s">
        <v>168</v>
      </c>
      <c r="B15" s="22" t="s">
        <v>169</v>
      </c>
      <c r="C15" s="22" t="s">
        <v>170</v>
      </c>
    </row>
    <row r="16" spans="1:3" ht="30" customHeight="1" x14ac:dyDescent="0.3">
      <c r="A16" s="23" t="s">
        <v>171</v>
      </c>
      <c r="B16" s="24" t="s">
        <v>172</v>
      </c>
      <c r="C16" s="24" t="s">
        <v>173</v>
      </c>
    </row>
    <row r="17" spans="1:3" ht="30" customHeight="1" x14ac:dyDescent="0.3">
      <c r="A17" s="25" t="s">
        <v>174</v>
      </c>
      <c r="B17" s="26" t="s">
        <v>175</v>
      </c>
      <c r="C17" s="26" t="s">
        <v>176</v>
      </c>
    </row>
    <row r="18" spans="1:3" ht="30" customHeight="1" x14ac:dyDescent="0.3">
      <c r="A18" s="27"/>
      <c r="B18" s="6"/>
      <c r="C18" s="6"/>
    </row>
    <row r="19" spans="1:3" ht="30" customHeight="1" x14ac:dyDescent="0.3">
      <c r="A19" s="29" t="s">
        <v>177</v>
      </c>
      <c r="B19" s="30" t="s">
        <v>178</v>
      </c>
      <c r="C19" s="30" t="s">
        <v>179</v>
      </c>
    </row>
    <row r="20" spans="1:3" ht="30" customHeight="1" x14ac:dyDescent="0.3">
      <c r="A20" s="29" t="s">
        <v>180</v>
      </c>
      <c r="B20" s="30" t="s">
        <v>181</v>
      </c>
      <c r="C20" s="30" t="s">
        <v>182</v>
      </c>
    </row>
    <row r="21" spans="1:3" ht="30" customHeight="1" x14ac:dyDescent="0.3">
      <c r="A21" s="29" t="s">
        <v>183</v>
      </c>
      <c r="B21" s="30" t="s">
        <v>184</v>
      </c>
      <c r="C21" s="30" t="s">
        <v>185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Sequential Protocol Designer</vt:lpstr>
      <vt:lpstr>Kit Master Reference</vt:lpstr>
      <vt:lpstr>Sheet1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Bhusari</cp:lastModifiedBy>
  <dcterms:created xsi:type="dcterms:W3CDTF">2026-03-14T10:13:13Z</dcterms:created>
  <dcterms:modified xsi:type="dcterms:W3CDTF">2026-06-16T10:58:49Z</dcterms:modified>
</cp:coreProperties>
</file>